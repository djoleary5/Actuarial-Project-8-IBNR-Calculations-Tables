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nni\Documents\Actuary\Projects\"/>
    </mc:Choice>
  </mc:AlternateContent>
  <xr:revisionPtr revIDLastSave="0" documentId="13_ncr:1_{310F6A12-703A-49D3-B384-0DEADFA3F1EF}" xr6:coauthVersionLast="47" xr6:coauthVersionMax="47" xr10:uidLastSave="{00000000-0000-0000-0000-000000000000}"/>
  <bookViews>
    <workbookView xWindow="-120" yWindow="-120" windowWidth="20730" windowHeight="11160" activeTab="3" xr2:uid="{19D90D87-E78E-4E63-B9D5-510704AFCAB1}"/>
  </bookViews>
  <sheets>
    <sheet name="Calculator" sheetId="2" r:id="rId1"/>
    <sheet name="Completion_Factors" sheetId="1" r:id="rId2"/>
    <sheet name="Company Data" sheetId="4" r:id="rId3"/>
    <sheet name="Coverage Type" sheetId="5" r:id="rId4"/>
    <sheet name="Avg Reported Claims" sheetId="6" r:id="rId5"/>
    <sheet name="Max IBNR Reserve" sheetId="7" r:id="rId6"/>
  </sheets>
  <calcPr calcId="191029"/>
  <pivotCaches>
    <pivotCache cacheId="5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4" i="4" l="1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</calcChain>
</file>

<file path=xl/sharedStrings.xml><?xml version="1.0" encoding="utf-8"?>
<sst xmlns="http://schemas.openxmlformats.org/spreadsheetml/2006/main" count="85" uniqueCount="66">
  <si>
    <t>1 Month</t>
  </si>
  <si>
    <t>2 Month</t>
  </si>
  <si>
    <t>3 Month</t>
  </si>
  <si>
    <t>4 Month</t>
  </si>
  <si>
    <t>5 Month</t>
  </si>
  <si>
    <t>6 Month</t>
  </si>
  <si>
    <t>Small</t>
  </si>
  <si>
    <t>Dental</t>
  </si>
  <si>
    <t>Prescription</t>
  </si>
  <si>
    <t>Healthcare Appt</t>
  </si>
  <si>
    <t>Medium</t>
  </si>
  <si>
    <t>Large</t>
  </si>
  <si>
    <t>Company Size</t>
  </si>
  <si>
    <t>Claim Type</t>
  </si>
  <si>
    <t>Employee Count</t>
  </si>
  <si>
    <t>IBNR Reserve</t>
  </si>
  <si>
    <t>Company 30</t>
  </si>
  <si>
    <t>Company 29</t>
  </si>
  <si>
    <t>Company 28</t>
  </si>
  <si>
    <t>Company 27</t>
  </si>
  <si>
    <t>Company 26</t>
  </si>
  <si>
    <t>Company 25</t>
  </si>
  <si>
    <t>Company 24</t>
  </si>
  <si>
    <t>Company 23</t>
  </si>
  <si>
    <t>Company 22</t>
  </si>
  <si>
    <t>Company 21</t>
  </si>
  <si>
    <t>Company 20</t>
  </si>
  <si>
    <t>Company 19</t>
  </si>
  <si>
    <t>Company 18</t>
  </si>
  <si>
    <t>Company 17</t>
  </si>
  <si>
    <t>Company 16</t>
  </si>
  <si>
    <t>Company 15</t>
  </si>
  <si>
    <t>Company 14</t>
  </si>
  <si>
    <t>Company 13</t>
  </si>
  <si>
    <t>Company 12</t>
  </si>
  <si>
    <t>Company 11</t>
  </si>
  <si>
    <t>Company 10</t>
  </si>
  <si>
    <t>Company 9</t>
  </si>
  <si>
    <t>Company 8</t>
  </si>
  <si>
    <t>Company 7</t>
  </si>
  <si>
    <t>Company 6</t>
  </si>
  <si>
    <t>Company 5</t>
  </si>
  <si>
    <t>Company 4</t>
  </si>
  <si>
    <t>Company 3</t>
  </si>
  <si>
    <t>Company 2</t>
  </si>
  <si>
    <t>Company 1</t>
  </si>
  <si>
    <t>June 2020</t>
  </si>
  <si>
    <t>May 2020</t>
  </si>
  <si>
    <t>Apr 2020</t>
  </si>
  <si>
    <t>Mar 2020</t>
  </si>
  <si>
    <t>Feb 2020</t>
  </si>
  <si>
    <t>Jan 2020</t>
  </si>
  <si>
    <t>Type</t>
  </si>
  <si>
    <t>Company #</t>
  </si>
  <si>
    <t>Claims ($) reported as of June 31, 2020, by Month Occurred</t>
  </si>
  <si>
    <t>Grand Total</t>
  </si>
  <si>
    <t>Coverage Type</t>
  </si>
  <si>
    <t># of Companies</t>
  </si>
  <si>
    <t>% of Companies</t>
  </si>
  <si>
    <t>Average of Jan 2020</t>
  </si>
  <si>
    <t>Average of Feb 2020</t>
  </si>
  <si>
    <t>Average of Mar 2020</t>
  </si>
  <si>
    <t>Average of Apr 2020</t>
  </si>
  <si>
    <t>Average of May 2020</t>
  </si>
  <si>
    <t>Average of June 2020</t>
  </si>
  <si>
    <t>Max of IBNR Reserve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</si>
</sst>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* #,##0_-;\-* #,##0_-;_-* &quot;-&quot;??_-;_-@_-"/>
    <numFmt numFmtId="165" formatCode="_(* #,##0_);_(* \(#,##0\);_(* &quot;-&quot;??_);_(@_)"/>
    <numFmt numFmtId="166" formatCode="_([$$-409]* #,##0.00_);_([$$-409]* \(#,##0.00\);_([$$-409]* &quot;-&quot;??_);_(@_)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3F3F76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5F1FD"/>
        <bgColor indexed="64"/>
      </patternFill>
    </fill>
    <fill>
      <patternFill patternType="solid">
        <fgColor rgb="FF05C7E2"/>
        <bgColor indexed="64"/>
      </patternFill>
    </fill>
    <fill>
      <patternFill patternType="solid">
        <fgColor rgb="FFFFCC99"/>
      </patternFill>
    </fill>
    <fill>
      <patternFill patternType="solid">
        <fgColor theme="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4" borderId="4" applyNumberFormat="0" applyAlignment="0" applyProtection="0"/>
    <xf numFmtId="0" fontId="7" fillId="5" borderId="0" applyNumberFormat="0" applyBorder="0" applyAlignment="0" applyProtection="0"/>
  </cellStyleXfs>
  <cellXfs count="29">
    <xf numFmtId="0" fontId="0" fillId="0" borderId="0" xfId="0"/>
    <xf numFmtId="0" fontId="0" fillId="2" borderId="1" xfId="0" applyFill="1" applyBorder="1" applyAlignment="1">
      <alignment horizontal="center"/>
    </xf>
    <xf numFmtId="0" fontId="0" fillId="0" borderId="2" xfId="0" applyBorder="1"/>
    <xf numFmtId="0" fontId="0" fillId="0" borderId="1" xfId="0" applyBorder="1"/>
    <xf numFmtId="0" fontId="0" fillId="0" borderId="3" xfId="0" applyBorder="1"/>
    <xf numFmtId="0" fontId="1" fillId="0" borderId="0" xfId="0" applyFont="1"/>
    <xf numFmtId="0" fontId="1" fillId="0" borderId="1" xfId="0" applyFont="1" applyBorder="1"/>
    <xf numFmtId="164" fontId="0" fillId="0" borderId="0" xfId="0" applyNumberFormat="1"/>
    <xf numFmtId="165" fontId="0" fillId="0" borderId="0" xfId="1" applyNumberFormat="1" applyFont="1" applyFill="1" applyBorder="1"/>
    <xf numFmtId="164" fontId="0" fillId="0" borderId="0" xfId="1" applyNumberFormat="1" applyFont="1"/>
    <xf numFmtId="164" fontId="0" fillId="0" borderId="0" xfId="1" applyNumberFormat="1" applyFont="1" applyBorder="1"/>
    <xf numFmtId="17" fontId="1" fillId="3" borderId="0" xfId="0" quotePrefix="1" applyNumberFormat="1" applyFont="1" applyFill="1"/>
    <xf numFmtId="0" fontId="1" fillId="3" borderId="0" xfId="0" quotePrefix="1" applyFont="1" applyFill="1"/>
    <xf numFmtId="0" fontId="1" fillId="3" borderId="0" xfId="0" applyFont="1" applyFill="1"/>
    <xf numFmtId="166" fontId="0" fillId="0" borderId="1" xfId="0" applyNumberFormat="1" applyBorder="1"/>
    <xf numFmtId="166" fontId="0" fillId="0" borderId="0" xfId="0" applyNumberFormat="1"/>
    <xf numFmtId="0" fontId="3" fillId="0" borderId="0" xfId="0" applyFont="1" applyAlignment="1">
      <alignment horizontal="center"/>
    </xf>
    <xf numFmtId="164" fontId="0" fillId="0" borderId="1" xfId="1" applyNumberFormat="1" applyFont="1" applyBorder="1"/>
    <xf numFmtId="17" fontId="6" fillId="5" borderId="1" xfId="4" applyNumberFormat="1" applyFont="1" applyBorder="1"/>
    <xf numFmtId="0" fontId="6" fillId="5" borderId="1" xfId="4" applyFont="1" applyBorder="1"/>
    <xf numFmtId="0" fontId="8" fillId="4" borderId="1" xfId="3" applyFont="1" applyBorder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0" fontId="0" fillId="0" borderId="0" xfId="0" applyNumberFormat="1"/>
    <xf numFmtId="0" fontId="0" fillId="0" borderId="0" xfId="0" pivotButton="1" applyAlignment="1">
      <alignment wrapText="1"/>
    </xf>
    <xf numFmtId="0" fontId="0" fillId="0" borderId="0" xfId="0" applyAlignment="1">
      <alignment wrapText="1"/>
    </xf>
    <xf numFmtId="44" fontId="0" fillId="0" borderId="0" xfId="0" applyNumberFormat="1"/>
    <xf numFmtId="44" fontId="0" fillId="0" borderId="0" xfId="2" applyFont="1"/>
  </cellXfs>
  <cellStyles count="5">
    <cellStyle name="Accent1" xfId="4" builtinId="29"/>
    <cellStyle name="Comma" xfId="1" builtinId="3"/>
    <cellStyle name="Currency" xfId="2" builtinId="4"/>
    <cellStyle name="Input" xfId="3" builtinId="20"/>
    <cellStyle name="Normal" xfId="0" builtinId="0"/>
  </cellStyles>
  <dxfs count="4"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alignment wrapText="1"/>
    </dxf>
    <dxf>
      <alignment wrapText="1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333375</xdr:colOff>
          <xdr:row>1</xdr:row>
          <xdr:rowOff>28575</xdr:rowOff>
        </xdr:from>
        <xdr:to>
          <xdr:col>11</xdr:col>
          <xdr:colOff>352425</xdr:colOff>
          <xdr:row>3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114300</xdr:colOff>
          <xdr:row>2</xdr:row>
          <xdr:rowOff>66675</xdr:rowOff>
        </xdr:from>
        <xdr:to>
          <xdr:col>13</xdr:col>
          <xdr:colOff>428625</xdr:colOff>
          <xdr:row>5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4D074815-82C3-4038-AA5D-243B9D8C1E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nnis O'Leary" refreshedDate="44766.776585532411" createdVersion="8" refreshedVersion="8" minRefreshableVersion="3" recordCount="30" xr:uid="{7F176672-C0BE-48CA-AEA1-C2060F91A343}">
  <cacheSource type="worksheet">
    <worksheetSource ref="A2:J32" sheet="Company Data"/>
  </cacheSource>
  <cacheFields count="10">
    <cacheField name="Company #" numFmtId="0">
      <sharedItems/>
    </cacheField>
    <cacheField name="Type" numFmtId="0">
      <sharedItems containsSemiMixedTypes="0" containsString="0" containsNumber="1" containsInteger="1" minValue="1" maxValue="3" count="3">
        <n v="3"/>
        <n v="2"/>
        <n v="1"/>
      </sharedItems>
    </cacheField>
    <cacheField name="Company Size" numFmtId="0">
      <sharedItems containsSemiMixedTypes="0" containsString="0" containsNumber="1" containsInteger="1" minValue="90" maxValue="9983"/>
    </cacheField>
    <cacheField name="Jan 2020" numFmtId="0">
      <sharedItems containsSemiMixedTypes="0" containsString="0" containsNumber="1" containsInteger="1" minValue="14521" maxValue="92953" count="30">
        <n v="72019"/>
        <n v="92953"/>
        <n v="14521"/>
        <n v="72034"/>
        <n v="72039"/>
        <n v="72044"/>
        <n v="72049"/>
        <n v="72054"/>
        <n v="72059"/>
        <n v="72064"/>
        <n v="72069"/>
        <n v="72074"/>
        <n v="72079"/>
        <n v="72084"/>
        <n v="72089"/>
        <n v="72094"/>
        <n v="72099"/>
        <n v="72104"/>
        <n v="72109"/>
        <n v="72114"/>
        <n v="72119"/>
        <n v="72124"/>
        <n v="72129"/>
        <n v="72134"/>
        <n v="72139"/>
        <n v="72144"/>
        <n v="72149"/>
        <n v="72154"/>
        <n v="72159"/>
        <n v="72164"/>
      </sharedItems>
    </cacheField>
    <cacheField name="Feb 2020" numFmtId="0">
      <sharedItems containsSemiMixedTypes="0" containsString="0" containsNumber="1" containsInteger="1" minValue="12986" maxValue="82345"/>
    </cacheField>
    <cacheField name="Mar 2020" numFmtId="0">
      <sharedItems containsSemiMixedTypes="0" containsString="0" containsNumber="1" containsInteger="1" minValue="10489" maxValue="79845"/>
    </cacheField>
    <cacheField name="Apr 2020" numFmtId="0">
      <sharedItems containsSemiMixedTypes="0" containsString="0" containsNumber="1" containsInteger="1" minValue="6034" maxValue="61567"/>
    </cacheField>
    <cacheField name="May 2020" numFmtId="0">
      <sharedItems containsSemiMixedTypes="0" containsString="0" containsNumber="1" containsInteger="1" minValue="4095" maxValue="50346"/>
    </cacheField>
    <cacheField name="June 2020" numFmtId="164">
      <sharedItems containsSemiMixedTypes="0" containsString="0" containsNumber="1" containsInteger="1" minValue="15000" maxValue="15145"/>
    </cacheField>
    <cacheField name="IBNR Reserve" numFmtId="166">
      <sharedItems containsSemiMixedTypes="0" containsString="0" containsNumber="1" minValue="26752.232987219439" maxValue="71060.85245057666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s v="Company 1"/>
    <x v="0"/>
    <n v="621"/>
    <x v="0"/>
    <n v="65292"/>
    <n v="62291"/>
    <n v="52439"/>
    <n v="40000"/>
    <n v="15000"/>
    <n v="54691.518052965053"/>
  </r>
  <r>
    <s v="Company 2"/>
    <x v="1"/>
    <n v="9172"/>
    <x v="1"/>
    <n v="82345"/>
    <n v="79845"/>
    <n v="61567"/>
    <n v="50346"/>
    <n v="15005"/>
    <n v="41275.390658358519"/>
  </r>
  <r>
    <s v="Company 3"/>
    <x v="0"/>
    <n v="6823"/>
    <x v="2"/>
    <n v="12986"/>
    <n v="10489"/>
    <n v="6034"/>
    <n v="4095"/>
    <n v="15010"/>
    <n v="26752.232987219439"/>
  </r>
  <r>
    <s v="Company 4"/>
    <x v="1"/>
    <n v="9204"/>
    <x v="3"/>
    <n v="65307"/>
    <n v="62306"/>
    <n v="52454"/>
    <n v="40015"/>
    <n v="15015"/>
    <n v="36848.546616651933"/>
  </r>
  <r>
    <s v="Company 5"/>
    <x v="2"/>
    <n v="5852"/>
    <x v="4"/>
    <n v="65312"/>
    <n v="62311"/>
    <n v="52459"/>
    <n v="40020"/>
    <n v="15020"/>
    <n v="47165.610657508543"/>
  </r>
  <r>
    <s v="Company 6"/>
    <x v="1"/>
    <n v="3194"/>
    <x v="5"/>
    <n v="65317"/>
    <n v="62316"/>
    <n v="52464"/>
    <n v="40025"/>
    <n v="15025"/>
    <n v="70777.80160067539"/>
  </r>
  <r>
    <s v="Company 7"/>
    <x v="1"/>
    <n v="7741"/>
    <x v="6"/>
    <n v="65322"/>
    <n v="62321"/>
    <n v="52469"/>
    <n v="40030"/>
    <n v="15030"/>
    <n v="36873.043561082799"/>
  </r>
  <r>
    <s v="Company 8"/>
    <x v="2"/>
    <n v="6939"/>
    <x v="7"/>
    <n v="65327"/>
    <n v="62326"/>
    <n v="52474"/>
    <n v="40035"/>
    <n v="15035"/>
    <n v="47198.062642029719"/>
  </r>
  <r>
    <s v="Company 9"/>
    <x v="0"/>
    <n v="9983"/>
    <x v="8"/>
    <n v="65332"/>
    <n v="62331"/>
    <n v="52479"/>
    <n v="40040"/>
    <n v="15040"/>
    <n v="50337.335350346169"/>
  </r>
  <r>
    <s v="Company 10"/>
    <x v="1"/>
    <n v="7770"/>
    <x v="9"/>
    <n v="65337"/>
    <n v="62336"/>
    <n v="52484"/>
    <n v="40045"/>
    <n v="15045"/>
    <n v="36897.540505513607"/>
  </r>
  <r>
    <s v="Company 11"/>
    <x v="2"/>
    <n v="6290"/>
    <x v="10"/>
    <n v="65342"/>
    <n v="62341"/>
    <n v="52489"/>
    <n v="40050"/>
    <n v="15050"/>
    <n v="47230.514626551012"/>
  </r>
  <r>
    <s v="Company 12"/>
    <x v="2"/>
    <n v="4455"/>
    <x v="11"/>
    <n v="65347"/>
    <n v="62346"/>
    <n v="52494"/>
    <n v="40055"/>
    <n v="15055"/>
    <n v="61142.709774579795"/>
  </r>
  <r>
    <s v="Company 13"/>
    <x v="1"/>
    <n v="3530"/>
    <x v="12"/>
    <n v="65352"/>
    <n v="62351"/>
    <n v="52499"/>
    <n v="40060"/>
    <n v="15060"/>
    <n v="70867.863234734978"/>
  </r>
  <r>
    <s v="Company 14"/>
    <x v="2"/>
    <n v="6658"/>
    <x v="13"/>
    <n v="65357"/>
    <n v="62356"/>
    <n v="52504"/>
    <n v="40065"/>
    <n v="15065"/>
    <n v="47262.966611072246"/>
  </r>
  <r>
    <s v="Company 15"/>
    <x v="1"/>
    <n v="90"/>
    <x v="14"/>
    <n v="65362"/>
    <n v="62361"/>
    <n v="52509"/>
    <n v="40070"/>
    <n v="15070"/>
    <n v="56364.441460357455"/>
  </r>
  <r>
    <s v="Company 16"/>
    <x v="1"/>
    <n v="2381"/>
    <x v="15"/>
    <n v="65367"/>
    <n v="62366"/>
    <n v="52514"/>
    <n v="40075"/>
    <n v="15075"/>
    <n v="70906.461077903223"/>
  </r>
  <r>
    <s v="Company 17"/>
    <x v="2"/>
    <n v="7925"/>
    <x v="16"/>
    <n v="65372"/>
    <n v="62371"/>
    <n v="52519"/>
    <n v="40080"/>
    <n v="15080"/>
    <n v="47295.418595593481"/>
  </r>
  <r>
    <s v="Company 18"/>
    <x v="0"/>
    <n v="3905"/>
    <x v="17"/>
    <n v="65377"/>
    <n v="62376"/>
    <n v="52524"/>
    <n v="40085"/>
    <n v="15085"/>
    <n v="54869.092294256669"/>
  </r>
  <r>
    <s v="Company 19"/>
    <x v="1"/>
    <n v="8573"/>
    <x v="18"/>
    <n v="65382"/>
    <n v="62381"/>
    <n v="52529"/>
    <n v="40090"/>
    <n v="15090"/>
    <n v="36971.031338806206"/>
  </r>
  <r>
    <s v="Company 20"/>
    <x v="2"/>
    <n v="8943"/>
    <x v="19"/>
    <n v="65387"/>
    <n v="62386"/>
    <n v="52534"/>
    <n v="40095"/>
    <n v="15095"/>
    <n v="47327.870580114657"/>
  </r>
  <r>
    <s v="Company 21"/>
    <x v="1"/>
    <n v="718"/>
    <x v="20"/>
    <n v="65392"/>
    <n v="62391"/>
    <n v="52539"/>
    <n v="40100"/>
    <n v="15100"/>
    <n v="70970.790816517198"/>
  </r>
  <r>
    <s v="Company 22"/>
    <x v="0"/>
    <n v="1906"/>
    <x v="21"/>
    <n v="65397"/>
    <n v="62396"/>
    <n v="52544"/>
    <n v="40105"/>
    <n v="15105"/>
    <n v="54910.874468678259"/>
  </r>
  <r>
    <s v="Company 23"/>
    <x v="2"/>
    <n v="6244"/>
    <x v="22"/>
    <n v="65402"/>
    <n v="62401"/>
    <n v="52549"/>
    <n v="40110"/>
    <n v="15110"/>
    <n v="47360.322564636008"/>
  </r>
  <r>
    <s v="Company 24"/>
    <x v="2"/>
    <n v="4194"/>
    <x v="23"/>
    <n v="65407"/>
    <n v="62406"/>
    <n v="52554"/>
    <n v="40115"/>
    <n v="15115"/>
    <n v="61276.997640164918"/>
  </r>
  <r>
    <s v="Company 25"/>
    <x v="2"/>
    <n v="6695"/>
    <x v="24"/>
    <n v="65412"/>
    <n v="62411"/>
    <n v="52559"/>
    <n v="40120"/>
    <n v="15120"/>
    <n v="47381.957220983459"/>
  </r>
  <r>
    <s v="Company 26"/>
    <x v="1"/>
    <n v="7077"/>
    <x v="25"/>
    <n v="65417"/>
    <n v="62416"/>
    <n v="52564"/>
    <n v="40125"/>
    <n v="15125"/>
    <n v="37028.190875811619"/>
  </r>
  <r>
    <s v="Company 27"/>
    <x v="2"/>
    <n v="7020"/>
    <x v="26"/>
    <n v="65422"/>
    <n v="62421"/>
    <n v="52569"/>
    <n v="40130"/>
    <n v="15130"/>
    <n v="47403.591877330968"/>
  </r>
  <r>
    <s v="Company 28"/>
    <x v="1"/>
    <n v="3233"/>
    <x v="27"/>
    <n v="65427"/>
    <n v="62426"/>
    <n v="52574"/>
    <n v="40135"/>
    <n v="15135"/>
    <n v="71060.852450576669"/>
  </r>
  <r>
    <s v="Company 29"/>
    <x v="1"/>
    <n v="8025"/>
    <x v="28"/>
    <n v="65432"/>
    <n v="62431"/>
    <n v="52579"/>
    <n v="40140"/>
    <n v="15140"/>
    <n v="37052.687820242427"/>
  </r>
  <r>
    <s v="Company 30"/>
    <x v="1"/>
    <n v="5713"/>
    <x v="29"/>
    <n v="65437"/>
    <n v="62436"/>
    <n v="52584"/>
    <n v="40145"/>
    <n v="15145"/>
    <n v="37060.85346838604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4A1DE3-150F-48B4-B6B8-C2E7464E803A}" name="PivotTable1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Coverage Type">
  <location ref="A3:C7" firstHeaderRow="0" firstDataRow="1" firstDataCol="1"/>
  <pivotFields count="10">
    <pivotField showAll="0"/>
    <pivotField axis="axisRow" dataField="1"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numFmtId="164" showAll="0"/>
    <pivotField numFmtId="166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# of Companies" fld="1" baseField="0" baseItem="0"/>
    <dataField name="% of Companies" fld="1" showDataAs="percentOfTotal" baseField="1" baseItem="0" numFmtId="10"/>
  </dataFields>
  <formats count="2">
    <format dxfId="3">
      <pivotArea field="1" type="button" dataOnly="0" labelOnly="1" outline="0" axis="axisRow" fieldPosition="0"/>
    </format>
    <format dxfId="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0F7A67-0403-45C4-B259-CDFB9A639940}" name="PivotTable2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Coverage Type">
  <location ref="A3:G7" firstHeaderRow="0" firstDataRow="1" firstDataCol="1"/>
  <pivotFields count="10">
    <pivotField showAll="0"/>
    <pivotField axis="axisRow" showAll="0">
      <items count="4">
        <item x="2"/>
        <item x="1"/>
        <item x="0"/>
        <item t="default"/>
      </items>
    </pivotField>
    <pivotField showAll="0"/>
    <pivotField dataField="1" showAll="0">
      <items count="31">
        <item x="2"/>
        <item x="0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1"/>
        <item t="default"/>
      </items>
    </pivotField>
    <pivotField dataField="1" showAll="0"/>
    <pivotField dataField="1" showAll="0"/>
    <pivotField dataField="1" showAll="0"/>
    <pivotField dataField="1" showAll="0"/>
    <pivotField dataField="1" numFmtId="164" showAll="0"/>
    <pivotField numFmtId="166" showAll="0"/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Average of Jan 2020" fld="3" subtotal="average" baseField="0" baseItem="1"/>
    <dataField name="Average of Feb 2020" fld="4" subtotal="average" baseField="0" baseItem="1"/>
    <dataField name="Average of Mar 2020" fld="5" subtotal="average" baseField="0" baseItem="1"/>
    <dataField name="Average of Apr 2020" fld="6" subtotal="average" baseField="0" baseItem="1"/>
    <dataField name="Average of May 2020" fld="7" subtotal="average" baseField="0" baseItem="1"/>
    <dataField name="Average of June 2020" fld="8" subtotal="average" baseField="0" baseItem="1"/>
  </dataFields>
  <formats count="1"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8FA7EC-2FE4-4E82-B568-2CC03BDD1DF9}" name="PivotTable3" cacheId="5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rowHeaderCaption="Coverage Type">
  <location ref="A3:B6" firstHeaderRow="1" firstDataRow="1" firstDataCol="1"/>
  <pivotFields count="10">
    <pivotField showAll="0"/>
    <pivotField axis="axisRow"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numFmtId="164" showAll="0"/>
    <pivotField dataField="1" numFmtId="166" showAll="0"/>
  </pivotFields>
  <rowFields count="1">
    <field x="1"/>
  </rowFields>
  <rowItems count="3">
    <i>
      <x/>
    </i>
    <i>
      <x v="1"/>
    </i>
    <i>
      <x v="2"/>
    </i>
  </rowItems>
  <colItems count="1">
    <i/>
  </colItems>
  <dataFields count="1">
    <dataField name="Max of IBNR Reserve" fld="9" subtotal="max" baseField="4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BBFF38-97B0-4ED4-B855-166D2D4EDB43}">
  <sheetPr codeName="Sheet2"/>
  <dimension ref="A1:I2"/>
  <sheetViews>
    <sheetView workbookViewId="0">
      <selection activeCell="B7" sqref="B7"/>
    </sheetView>
  </sheetViews>
  <sheetFormatPr defaultRowHeight="15" x14ac:dyDescent="0.25"/>
  <cols>
    <col min="1" max="6" width="8" bestFit="1" customWidth="1"/>
    <col min="7" max="7" width="15.7109375" bestFit="1" customWidth="1"/>
    <col min="8" max="8" width="10.7109375" bestFit="1" customWidth="1"/>
    <col min="9" max="9" width="12.85546875" bestFit="1" customWidth="1"/>
  </cols>
  <sheetData>
    <row r="1" spans="1:9" s="5" customFormat="1" x14ac:dyDescent="0.25">
      <c r="A1" s="18">
        <v>43831</v>
      </c>
      <c r="B1" s="18">
        <v>43862</v>
      </c>
      <c r="C1" s="18">
        <v>43891</v>
      </c>
      <c r="D1" s="18">
        <v>43922</v>
      </c>
      <c r="E1" s="18">
        <v>43952</v>
      </c>
      <c r="F1" s="18">
        <v>43983</v>
      </c>
      <c r="G1" s="19" t="s">
        <v>14</v>
      </c>
      <c r="H1" s="19" t="s">
        <v>13</v>
      </c>
      <c r="I1" s="6" t="s">
        <v>15</v>
      </c>
    </row>
    <row r="2" spans="1:9" x14ac:dyDescent="0.25">
      <c r="A2" s="17">
        <v>72019</v>
      </c>
      <c r="B2" s="17">
        <v>65292</v>
      </c>
      <c r="C2" s="17">
        <v>62291</v>
      </c>
      <c r="D2" s="17">
        <v>52439</v>
      </c>
      <c r="E2" s="17">
        <v>40000</v>
      </c>
      <c r="F2" s="17">
        <v>15000</v>
      </c>
      <c r="G2" s="20">
        <v>143</v>
      </c>
      <c r="H2" s="20" t="s">
        <v>7</v>
      </c>
      <c r="I2" s="14">
        <v>61019.612564459909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reserve">
                <anchor moveWithCells="1" sizeWithCells="1">
                  <from>
                    <xdr:col>9</xdr:col>
                    <xdr:colOff>333375</xdr:colOff>
                    <xdr:row>1</xdr:row>
                    <xdr:rowOff>28575</xdr:rowOff>
                  </from>
                  <to>
                    <xdr:col>11</xdr:col>
                    <xdr:colOff>352425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08F5EF5-F7BF-4E49-A661-4B04868217AF}">
          <x14:formula1>
            <xm:f>Completion_Factors!$B$2:$B$4</xm:f>
          </x14:formula1>
          <xm:sqref>H2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DF6E7A-E158-4010-B37F-E24CF097480F}">
  <sheetPr codeName="Sheet1"/>
  <dimension ref="A1:H10"/>
  <sheetViews>
    <sheetView workbookViewId="0">
      <selection activeCell="B8" sqref="B8"/>
    </sheetView>
  </sheetViews>
  <sheetFormatPr defaultRowHeight="15" x14ac:dyDescent="0.25"/>
  <cols>
    <col min="1" max="1" width="12.7109375" bestFit="1" customWidth="1"/>
    <col min="2" max="2" width="14.28515625" bestFit="1" customWidth="1"/>
  </cols>
  <sheetData>
    <row r="1" spans="1:8" x14ac:dyDescent="0.25">
      <c r="A1" s="5" t="s">
        <v>12</v>
      </c>
      <c r="B1" s="5" t="s">
        <v>13</v>
      </c>
      <c r="C1" s="1" t="s">
        <v>0</v>
      </c>
      <c r="D1" s="1" t="s">
        <v>1</v>
      </c>
      <c r="E1" s="1" t="s">
        <v>2</v>
      </c>
      <c r="F1" s="1" t="s">
        <v>3</v>
      </c>
      <c r="G1" s="1" t="s">
        <v>4</v>
      </c>
      <c r="H1" s="1" t="s">
        <v>5</v>
      </c>
    </row>
    <row r="2" spans="1:8" x14ac:dyDescent="0.25">
      <c r="A2" s="2" t="s">
        <v>6</v>
      </c>
      <c r="B2" s="2" t="s">
        <v>7</v>
      </c>
      <c r="C2" s="3">
        <v>2.32558139534884</v>
      </c>
      <c r="D2" s="3">
        <v>1.3888888888888888</v>
      </c>
      <c r="E2" s="3">
        <v>1.1235955056179776</v>
      </c>
      <c r="F2" s="3">
        <v>1.075268817204301</v>
      </c>
      <c r="G2" s="3">
        <v>1.0526315789473684</v>
      </c>
      <c r="H2" s="3">
        <v>1.025468</v>
      </c>
    </row>
    <row r="3" spans="1:8" x14ac:dyDescent="0.25">
      <c r="A3" t="s">
        <v>6</v>
      </c>
      <c r="B3" t="s">
        <v>8</v>
      </c>
      <c r="C3" s="3">
        <v>3.3333333333333335</v>
      </c>
      <c r="D3" s="3">
        <v>1.2048192771084338</v>
      </c>
      <c r="E3" s="3">
        <v>1.1363636363636365</v>
      </c>
      <c r="F3" s="3">
        <v>1.0526315789473684</v>
      </c>
      <c r="G3" s="3">
        <v>1.0256410256410258</v>
      </c>
      <c r="H3" s="3">
        <v>1.0121457489878543</v>
      </c>
    </row>
    <row r="4" spans="1:8" x14ac:dyDescent="0.25">
      <c r="A4" s="4" t="s">
        <v>6</v>
      </c>
      <c r="B4" s="4" t="s">
        <v>9</v>
      </c>
      <c r="C4" s="3">
        <v>3.9525691699604741</v>
      </c>
      <c r="D4" s="3">
        <v>1.5873015873015872</v>
      </c>
      <c r="E4" s="3">
        <v>1.2820512820512819</v>
      </c>
      <c r="F4" s="3">
        <v>1.0989010989010988</v>
      </c>
      <c r="G4" s="3">
        <v>1.0204081632653061</v>
      </c>
      <c r="H4" s="3">
        <v>1.0070493454179255</v>
      </c>
    </row>
    <row r="5" spans="1:8" x14ac:dyDescent="0.25">
      <c r="A5" s="2" t="s">
        <v>10</v>
      </c>
      <c r="B5" s="2" t="s">
        <v>7</v>
      </c>
      <c r="C5" s="3">
        <v>2.4390243902439024</v>
      </c>
      <c r="D5" s="3">
        <v>1.4285714285714286</v>
      </c>
      <c r="E5" s="3">
        <v>1.149425287356322</v>
      </c>
      <c r="F5" s="3">
        <v>1.0989010989010988</v>
      </c>
      <c r="G5" s="3">
        <v>1.075268817204301</v>
      </c>
      <c r="H5" s="3">
        <v>1.0469400708106817</v>
      </c>
    </row>
    <row r="6" spans="1:8" x14ac:dyDescent="0.25">
      <c r="A6" t="s">
        <v>10</v>
      </c>
      <c r="B6" t="s">
        <v>8</v>
      </c>
      <c r="C6" s="3">
        <v>2.6315789473684212</v>
      </c>
      <c r="D6" s="3">
        <v>1.4925373134328359</v>
      </c>
      <c r="E6" s="3">
        <v>1.1904761904761907</v>
      </c>
      <c r="F6" s="3">
        <v>1.1363636363636365</v>
      </c>
      <c r="G6" s="3">
        <v>1.1111111111111112</v>
      </c>
      <c r="H6" s="3">
        <v>1.0111223458038423</v>
      </c>
    </row>
    <row r="7" spans="1:8" x14ac:dyDescent="0.25">
      <c r="A7" s="4" t="s">
        <v>10</v>
      </c>
      <c r="B7" s="4" t="s">
        <v>9</v>
      </c>
      <c r="C7" s="3">
        <v>2.3809523809523809</v>
      </c>
      <c r="D7" s="3">
        <v>1.4084507042253522</v>
      </c>
      <c r="E7" s="3">
        <v>1.1363636363636365</v>
      </c>
      <c r="F7" s="3">
        <v>1.0869565217391304</v>
      </c>
      <c r="G7" s="3">
        <v>1.0638297872340425</v>
      </c>
      <c r="H7" s="3">
        <v>1.01255569056298</v>
      </c>
    </row>
    <row r="8" spans="1:8" x14ac:dyDescent="0.25">
      <c r="A8" s="2" t="s">
        <v>11</v>
      </c>
      <c r="B8" s="2" t="s">
        <v>7</v>
      </c>
      <c r="C8" s="3">
        <v>2.7027027027027026</v>
      </c>
      <c r="D8" s="3">
        <v>1.2820512820512819</v>
      </c>
      <c r="E8" s="3">
        <v>1.0989010989010988</v>
      </c>
      <c r="F8" s="3">
        <v>1.0460251046025104</v>
      </c>
      <c r="G8" s="3">
        <v>1.0277492291880781</v>
      </c>
      <c r="H8" s="3">
        <v>1.0060362173038229</v>
      </c>
    </row>
    <row r="9" spans="1:8" x14ac:dyDescent="0.25">
      <c r="A9" t="s">
        <v>11</v>
      </c>
      <c r="B9" t="s">
        <v>8</v>
      </c>
      <c r="C9" s="3">
        <v>2.2222222222222223</v>
      </c>
      <c r="D9" s="3">
        <v>1.2820512820512819</v>
      </c>
      <c r="E9" s="3">
        <v>1.0869565217391304</v>
      </c>
      <c r="F9" s="3">
        <v>1.0309278350515465</v>
      </c>
      <c r="G9" s="3">
        <v>1.0101010101010102</v>
      </c>
      <c r="H9" s="3">
        <v>1.0008707575590765</v>
      </c>
    </row>
    <row r="10" spans="1:8" x14ac:dyDescent="0.25">
      <c r="A10" s="4" t="s">
        <v>11</v>
      </c>
      <c r="B10" s="4" t="s">
        <v>9</v>
      </c>
      <c r="C10" s="3">
        <v>2.5641025641025639</v>
      </c>
      <c r="D10" s="3">
        <v>1.2987012987012987</v>
      </c>
      <c r="E10" s="3">
        <v>1.1709601873536299</v>
      </c>
      <c r="F10" s="3">
        <v>1.0787486515641855</v>
      </c>
      <c r="G10" s="3">
        <v>1.0097950116126426</v>
      </c>
      <c r="H10" s="3">
        <v>1.0046212577858149</v>
      </c>
    </row>
  </sheetData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84917-6D55-427C-A166-721BF753DC0E}">
  <sheetPr codeName="Sheet3"/>
  <dimension ref="A1:J32"/>
  <sheetViews>
    <sheetView workbookViewId="0">
      <selection activeCell="A2" sqref="A2:J32"/>
    </sheetView>
  </sheetViews>
  <sheetFormatPr defaultRowHeight="15" x14ac:dyDescent="0.25"/>
  <cols>
    <col min="1" max="1" width="11.28515625" bestFit="1" customWidth="1"/>
    <col min="2" max="2" width="11.28515625" customWidth="1"/>
    <col min="3" max="3" width="12.7109375" bestFit="1" customWidth="1"/>
    <col min="10" max="10" width="12.85546875" bestFit="1" customWidth="1"/>
  </cols>
  <sheetData>
    <row r="1" spans="1:10" x14ac:dyDescent="0.25">
      <c r="D1" s="16" t="s">
        <v>54</v>
      </c>
      <c r="E1" s="16"/>
      <c r="F1" s="16"/>
      <c r="G1" s="16"/>
      <c r="H1" s="16"/>
      <c r="I1" s="16"/>
    </row>
    <row r="2" spans="1:10" x14ac:dyDescent="0.25">
      <c r="A2" s="13" t="s">
        <v>53</v>
      </c>
      <c r="B2" s="13" t="s">
        <v>52</v>
      </c>
      <c r="C2" s="13" t="s">
        <v>12</v>
      </c>
      <c r="D2" s="12" t="s">
        <v>51</v>
      </c>
      <c r="E2" s="12" t="s">
        <v>50</v>
      </c>
      <c r="F2" s="12" t="s">
        <v>49</v>
      </c>
      <c r="G2" s="12" t="s">
        <v>48</v>
      </c>
      <c r="H2" s="12" t="s">
        <v>47</v>
      </c>
      <c r="I2" s="11" t="s">
        <v>46</v>
      </c>
      <c r="J2" s="6" t="s">
        <v>15</v>
      </c>
    </row>
    <row r="3" spans="1:10" x14ac:dyDescent="0.25">
      <c r="A3" t="s">
        <v>45</v>
      </c>
      <c r="B3">
        <v>3</v>
      </c>
      <c r="C3">
        <v>621</v>
      </c>
      <c r="D3" s="10">
        <v>72019</v>
      </c>
      <c r="E3" s="10">
        <v>65292</v>
      </c>
      <c r="F3" s="10">
        <v>62291</v>
      </c>
      <c r="G3" s="10">
        <v>52439</v>
      </c>
      <c r="H3" s="10">
        <v>40000</v>
      </c>
      <c r="I3" s="9">
        <v>15000</v>
      </c>
      <c r="J3" s="15">
        <v>54691.518052965053</v>
      </c>
    </row>
    <row r="4" spans="1:10" x14ac:dyDescent="0.25">
      <c r="A4" t="s">
        <v>44</v>
      </c>
      <c r="B4">
        <v>2</v>
      </c>
      <c r="C4">
        <v>9172</v>
      </c>
      <c r="D4" s="8">
        <v>92953</v>
      </c>
      <c r="E4" s="8">
        <v>82345</v>
      </c>
      <c r="F4" s="8">
        <v>79845</v>
      </c>
      <c r="G4" s="8">
        <v>61567</v>
      </c>
      <c r="H4" s="8">
        <v>50346</v>
      </c>
      <c r="I4" s="7">
        <f>I3+5</f>
        <v>15005</v>
      </c>
      <c r="J4" s="15">
        <v>41275.390658358519</v>
      </c>
    </row>
    <row r="5" spans="1:10" x14ac:dyDescent="0.25">
      <c r="A5" t="s">
        <v>43</v>
      </c>
      <c r="B5">
        <v>3</v>
      </c>
      <c r="C5">
        <v>6823</v>
      </c>
      <c r="D5" s="8">
        <v>14521</v>
      </c>
      <c r="E5" s="8">
        <v>12986</v>
      </c>
      <c r="F5" s="8">
        <v>10489</v>
      </c>
      <c r="G5" s="8">
        <v>6034</v>
      </c>
      <c r="H5" s="8">
        <v>4095</v>
      </c>
      <c r="I5" s="7">
        <f>I4+5</f>
        <v>15010</v>
      </c>
      <c r="J5" s="15">
        <v>26752.232987219439</v>
      </c>
    </row>
    <row r="6" spans="1:10" x14ac:dyDescent="0.25">
      <c r="A6" t="s">
        <v>42</v>
      </c>
      <c r="B6">
        <v>2</v>
      </c>
      <c r="C6">
        <v>9204</v>
      </c>
      <c r="D6" s="7">
        <v>72034</v>
      </c>
      <c r="E6" s="7">
        <v>65307</v>
      </c>
      <c r="F6" s="7">
        <v>62306</v>
      </c>
      <c r="G6" s="7">
        <v>52454</v>
      </c>
      <c r="H6" s="7">
        <v>40015</v>
      </c>
      <c r="I6" s="7">
        <f>I5+5</f>
        <v>15015</v>
      </c>
      <c r="J6" s="15">
        <v>36848.546616651933</v>
      </c>
    </row>
    <row r="7" spans="1:10" x14ac:dyDescent="0.25">
      <c r="A7" t="s">
        <v>41</v>
      </c>
      <c r="B7">
        <v>1</v>
      </c>
      <c r="C7">
        <v>5852</v>
      </c>
      <c r="D7" s="7">
        <v>72039</v>
      </c>
      <c r="E7" s="7">
        <v>65312</v>
      </c>
      <c r="F7" s="7">
        <v>62311</v>
      </c>
      <c r="G7" s="7">
        <v>52459</v>
      </c>
      <c r="H7" s="7">
        <v>40020</v>
      </c>
      <c r="I7" s="7">
        <f>I6+5</f>
        <v>15020</v>
      </c>
      <c r="J7" s="15">
        <v>47165.610657508543</v>
      </c>
    </row>
    <row r="8" spans="1:10" x14ac:dyDescent="0.25">
      <c r="A8" t="s">
        <v>40</v>
      </c>
      <c r="B8">
        <v>2</v>
      </c>
      <c r="C8">
        <v>3194</v>
      </c>
      <c r="D8" s="7">
        <v>72044</v>
      </c>
      <c r="E8" s="7">
        <v>65317</v>
      </c>
      <c r="F8" s="7">
        <v>62316</v>
      </c>
      <c r="G8" s="7">
        <v>52464</v>
      </c>
      <c r="H8" s="7">
        <v>40025</v>
      </c>
      <c r="I8" s="7">
        <f>I7+5</f>
        <v>15025</v>
      </c>
      <c r="J8" s="15">
        <v>70777.80160067539</v>
      </c>
    </row>
    <row r="9" spans="1:10" x14ac:dyDescent="0.25">
      <c r="A9" t="s">
        <v>39</v>
      </c>
      <c r="B9">
        <v>2</v>
      </c>
      <c r="C9">
        <v>7741</v>
      </c>
      <c r="D9" s="7">
        <v>72049</v>
      </c>
      <c r="E9" s="7">
        <v>65322</v>
      </c>
      <c r="F9" s="7">
        <v>62321</v>
      </c>
      <c r="G9" s="7">
        <v>52469</v>
      </c>
      <c r="H9" s="7">
        <v>40030</v>
      </c>
      <c r="I9" s="7">
        <f>I8+5</f>
        <v>15030</v>
      </c>
      <c r="J9" s="15">
        <v>36873.043561082799</v>
      </c>
    </row>
    <row r="10" spans="1:10" x14ac:dyDescent="0.25">
      <c r="A10" t="s">
        <v>38</v>
      </c>
      <c r="B10">
        <v>1</v>
      </c>
      <c r="C10">
        <v>6939</v>
      </c>
      <c r="D10" s="7">
        <v>72054</v>
      </c>
      <c r="E10" s="7">
        <v>65327</v>
      </c>
      <c r="F10" s="7">
        <v>62326</v>
      </c>
      <c r="G10" s="7">
        <v>52474</v>
      </c>
      <c r="H10" s="7">
        <v>40035</v>
      </c>
      <c r="I10" s="7">
        <f>I9+5</f>
        <v>15035</v>
      </c>
      <c r="J10" s="15">
        <v>47198.062642029719</v>
      </c>
    </row>
    <row r="11" spans="1:10" x14ac:dyDescent="0.25">
      <c r="A11" t="s">
        <v>37</v>
      </c>
      <c r="B11">
        <v>3</v>
      </c>
      <c r="C11">
        <v>9983</v>
      </c>
      <c r="D11" s="7">
        <v>72059</v>
      </c>
      <c r="E11" s="7">
        <v>65332</v>
      </c>
      <c r="F11" s="7">
        <v>62331</v>
      </c>
      <c r="G11" s="7">
        <v>52479</v>
      </c>
      <c r="H11" s="7">
        <v>40040</v>
      </c>
      <c r="I11" s="7">
        <f>I10+5</f>
        <v>15040</v>
      </c>
      <c r="J11" s="15">
        <v>50337.335350346169</v>
      </c>
    </row>
    <row r="12" spans="1:10" x14ac:dyDescent="0.25">
      <c r="A12" t="s">
        <v>36</v>
      </c>
      <c r="B12">
        <v>2</v>
      </c>
      <c r="C12">
        <v>7770</v>
      </c>
      <c r="D12" s="7">
        <v>72064</v>
      </c>
      <c r="E12" s="7">
        <v>65337</v>
      </c>
      <c r="F12" s="7">
        <v>62336</v>
      </c>
      <c r="G12" s="7">
        <v>52484</v>
      </c>
      <c r="H12" s="7">
        <v>40045</v>
      </c>
      <c r="I12" s="7">
        <f>I11+5</f>
        <v>15045</v>
      </c>
      <c r="J12" s="15">
        <v>36897.540505513607</v>
      </c>
    </row>
    <row r="13" spans="1:10" x14ac:dyDescent="0.25">
      <c r="A13" t="s">
        <v>35</v>
      </c>
      <c r="B13">
        <v>1</v>
      </c>
      <c r="C13">
        <v>6290</v>
      </c>
      <c r="D13" s="7">
        <v>72069</v>
      </c>
      <c r="E13" s="7">
        <v>65342</v>
      </c>
      <c r="F13" s="7">
        <v>62341</v>
      </c>
      <c r="G13" s="7">
        <v>52489</v>
      </c>
      <c r="H13" s="7">
        <v>40050</v>
      </c>
      <c r="I13" s="7">
        <f>I12+5</f>
        <v>15050</v>
      </c>
      <c r="J13" s="15">
        <v>47230.514626551012</v>
      </c>
    </row>
    <row r="14" spans="1:10" x14ac:dyDescent="0.25">
      <c r="A14" t="s">
        <v>34</v>
      </c>
      <c r="B14">
        <v>1</v>
      </c>
      <c r="C14">
        <v>4455</v>
      </c>
      <c r="D14" s="7">
        <v>72074</v>
      </c>
      <c r="E14" s="7">
        <v>65347</v>
      </c>
      <c r="F14" s="7">
        <v>62346</v>
      </c>
      <c r="G14" s="7">
        <v>52494</v>
      </c>
      <c r="H14" s="7">
        <v>40055</v>
      </c>
      <c r="I14" s="7">
        <f>I13+5</f>
        <v>15055</v>
      </c>
      <c r="J14" s="15">
        <v>61142.709774579795</v>
      </c>
    </row>
    <row r="15" spans="1:10" x14ac:dyDescent="0.25">
      <c r="A15" t="s">
        <v>33</v>
      </c>
      <c r="B15">
        <v>2</v>
      </c>
      <c r="C15">
        <v>3530</v>
      </c>
      <c r="D15" s="7">
        <v>72079</v>
      </c>
      <c r="E15" s="7">
        <v>65352</v>
      </c>
      <c r="F15" s="7">
        <v>62351</v>
      </c>
      <c r="G15" s="7">
        <v>52499</v>
      </c>
      <c r="H15" s="7">
        <v>40060</v>
      </c>
      <c r="I15" s="7">
        <f>I14+5</f>
        <v>15060</v>
      </c>
      <c r="J15" s="15">
        <v>70867.863234734978</v>
      </c>
    </row>
    <row r="16" spans="1:10" x14ac:dyDescent="0.25">
      <c r="A16" t="s">
        <v>32</v>
      </c>
      <c r="B16">
        <v>1</v>
      </c>
      <c r="C16">
        <v>6658</v>
      </c>
      <c r="D16" s="7">
        <v>72084</v>
      </c>
      <c r="E16" s="7">
        <v>65357</v>
      </c>
      <c r="F16" s="7">
        <v>62356</v>
      </c>
      <c r="G16" s="7">
        <v>52504</v>
      </c>
      <c r="H16" s="7">
        <v>40065</v>
      </c>
      <c r="I16" s="7">
        <f>I15+5</f>
        <v>15065</v>
      </c>
      <c r="J16" s="15">
        <v>47262.966611072246</v>
      </c>
    </row>
    <row r="17" spans="1:10" x14ac:dyDescent="0.25">
      <c r="A17" t="s">
        <v>31</v>
      </c>
      <c r="B17">
        <v>2</v>
      </c>
      <c r="C17">
        <v>90</v>
      </c>
      <c r="D17" s="7">
        <v>72089</v>
      </c>
      <c r="E17" s="7">
        <v>65362</v>
      </c>
      <c r="F17" s="7">
        <v>62361</v>
      </c>
      <c r="G17" s="7">
        <v>52509</v>
      </c>
      <c r="H17" s="7">
        <v>40070</v>
      </c>
      <c r="I17" s="7">
        <f>I16+5</f>
        <v>15070</v>
      </c>
      <c r="J17" s="15">
        <v>56364.441460357455</v>
      </c>
    </row>
    <row r="18" spans="1:10" x14ac:dyDescent="0.25">
      <c r="A18" t="s">
        <v>30</v>
      </c>
      <c r="B18">
        <v>2</v>
      </c>
      <c r="C18">
        <v>2381</v>
      </c>
      <c r="D18" s="7">
        <v>72094</v>
      </c>
      <c r="E18" s="7">
        <v>65367</v>
      </c>
      <c r="F18" s="7">
        <v>62366</v>
      </c>
      <c r="G18" s="7">
        <v>52514</v>
      </c>
      <c r="H18" s="7">
        <v>40075</v>
      </c>
      <c r="I18" s="7">
        <f>I17+5</f>
        <v>15075</v>
      </c>
      <c r="J18" s="15">
        <v>70906.461077903223</v>
      </c>
    </row>
    <row r="19" spans="1:10" x14ac:dyDescent="0.25">
      <c r="A19" t="s">
        <v>29</v>
      </c>
      <c r="B19">
        <v>1</v>
      </c>
      <c r="C19">
        <v>7925</v>
      </c>
      <c r="D19" s="7">
        <v>72099</v>
      </c>
      <c r="E19" s="7">
        <v>65372</v>
      </c>
      <c r="F19" s="7">
        <v>62371</v>
      </c>
      <c r="G19" s="7">
        <v>52519</v>
      </c>
      <c r="H19" s="7">
        <v>40080</v>
      </c>
      <c r="I19" s="7">
        <f>I18+5</f>
        <v>15080</v>
      </c>
      <c r="J19" s="15">
        <v>47295.418595593481</v>
      </c>
    </row>
    <row r="20" spans="1:10" x14ac:dyDescent="0.25">
      <c r="A20" t="s">
        <v>28</v>
      </c>
      <c r="B20">
        <v>3</v>
      </c>
      <c r="C20">
        <v>3905</v>
      </c>
      <c r="D20" s="7">
        <v>72104</v>
      </c>
      <c r="E20" s="7">
        <v>65377</v>
      </c>
      <c r="F20" s="7">
        <v>62376</v>
      </c>
      <c r="G20" s="7">
        <v>52524</v>
      </c>
      <c r="H20" s="7">
        <v>40085</v>
      </c>
      <c r="I20" s="7">
        <f>I19+5</f>
        <v>15085</v>
      </c>
      <c r="J20" s="15">
        <v>54869.092294256669</v>
      </c>
    </row>
    <row r="21" spans="1:10" x14ac:dyDescent="0.25">
      <c r="A21" t="s">
        <v>27</v>
      </c>
      <c r="B21">
        <v>2</v>
      </c>
      <c r="C21">
        <v>8573</v>
      </c>
      <c r="D21" s="7">
        <v>72109</v>
      </c>
      <c r="E21" s="7">
        <v>65382</v>
      </c>
      <c r="F21" s="7">
        <v>62381</v>
      </c>
      <c r="G21" s="7">
        <v>52529</v>
      </c>
      <c r="H21" s="7">
        <v>40090</v>
      </c>
      <c r="I21" s="7">
        <f>I20+5</f>
        <v>15090</v>
      </c>
      <c r="J21" s="15">
        <v>36971.031338806206</v>
      </c>
    </row>
    <row r="22" spans="1:10" x14ac:dyDescent="0.25">
      <c r="A22" t="s">
        <v>26</v>
      </c>
      <c r="B22">
        <v>1</v>
      </c>
      <c r="C22">
        <v>8943</v>
      </c>
      <c r="D22" s="7">
        <v>72114</v>
      </c>
      <c r="E22" s="7">
        <v>65387</v>
      </c>
      <c r="F22" s="7">
        <v>62386</v>
      </c>
      <c r="G22" s="7">
        <v>52534</v>
      </c>
      <c r="H22" s="7">
        <v>40095</v>
      </c>
      <c r="I22" s="7">
        <f>I21+5</f>
        <v>15095</v>
      </c>
      <c r="J22" s="15">
        <v>47327.870580114657</v>
      </c>
    </row>
    <row r="23" spans="1:10" x14ac:dyDescent="0.25">
      <c r="A23" t="s">
        <v>25</v>
      </c>
      <c r="B23">
        <v>2</v>
      </c>
      <c r="C23">
        <v>718</v>
      </c>
      <c r="D23" s="7">
        <v>72119</v>
      </c>
      <c r="E23" s="7">
        <v>65392</v>
      </c>
      <c r="F23" s="7">
        <v>62391</v>
      </c>
      <c r="G23" s="7">
        <v>52539</v>
      </c>
      <c r="H23" s="7">
        <v>40100</v>
      </c>
      <c r="I23" s="7">
        <f>I22+5</f>
        <v>15100</v>
      </c>
      <c r="J23" s="15">
        <v>70970.790816517198</v>
      </c>
    </row>
    <row r="24" spans="1:10" x14ac:dyDescent="0.25">
      <c r="A24" t="s">
        <v>24</v>
      </c>
      <c r="B24">
        <v>3</v>
      </c>
      <c r="C24">
        <v>1906</v>
      </c>
      <c r="D24" s="7">
        <v>72124</v>
      </c>
      <c r="E24" s="7">
        <v>65397</v>
      </c>
      <c r="F24" s="7">
        <v>62396</v>
      </c>
      <c r="G24" s="7">
        <v>52544</v>
      </c>
      <c r="H24" s="7">
        <v>40105</v>
      </c>
      <c r="I24" s="7">
        <f>I23+5</f>
        <v>15105</v>
      </c>
      <c r="J24" s="15">
        <v>54910.874468678259</v>
      </c>
    </row>
    <row r="25" spans="1:10" x14ac:dyDescent="0.25">
      <c r="A25" t="s">
        <v>23</v>
      </c>
      <c r="B25">
        <v>1</v>
      </c>
      <c r="C25">
        <v>6244</v>
      </c>
      <c r="D25" s="7">
        <v>72129</v>
      </c>
      <c r="E25" s="7">
        <v>65402</v>
      </c>
      <c r="F25" s="7">
        <v>62401</v>
      </c>
      <c r="G25" s="7">
        <v>52549</v>
      </c>
      <c r="H25" s="7">
        <v>40110</v>
      </c>
      <c r="I25" s="7">
        <f>I24+5</f>
        <v>15110</v>
      </c>
      <c r="J25" s="15">
        <v>47360.322564636008</v>
      </c>
    </row>
    <row r="26" spans="1:10" x14ac:dyDescent="0.25">
      <c r="A26" t="s">
        <v>22</v>
      </c>
      <c r="B26">
        <v>1</v>
      </c>
      <c r="C26">
        <v>4194</v>
      </c>
      <c r="D26" s="7">
        <v>72134</v>
      </c>
      <c r="E26" s="7">
        <v>65407</v>
      </c>
      <c r="F26" s="7">
        <v>62406</v>
      </c>
      <c r="G26" s="7">
        <v>52554</v>
      </c>
      <c r="H26" s="7">
        <v>40115</v>
      </c>
      <c r="I26" s="7">
        <f>I25+5</f>
        <v>15115</v>
      </c>
      <c r="J26" s="15">
        <v>61276.997640164918</v>
      </c>
    </row>
    <row r="27" spans="1:10" x14ac:dyDescent="0.25">
      <c r="A27" t="s">
        <v>21</v>
      </c>
      <c r="B27">
        <v>1</v>
      </c>
      <c r="C27">
        <v>6695</v>
      </c>
      <c r="D27" s="7">
        <v>72139</v>
      </c>
      <c r="E27" s="7">
        <v>65412</v>
      </c>
      <c r="F27" s="7">
        <v>62411</v>
      </c>
      <c r="G27" s="7">
        <v>52559</v>
      </c>
      <c r="H27" s="7">
        <v>40120</v>
      </c>
      <c r="I27" s="7">
        <f>I26+5</f>
        <v>15120</v>
      </c>
      <c r="J27" s="15">
        <v>47381.957220983459</v>
      </c>
    </row>
    <row r="28" spans="1:10" x14ac:dyDescent="0.25">
      <c r="A28" t="s">
        <v>20</v>
      </c>
      <c r="B28">
        <v>2</v>
      </c>
      <c r="C28">
        <v>7077</v>
      </c>
      <c r="D28" s="7">
        <v>72144</v>
      </c>
      <c r="E28" s="7">
        <v>65417</v>
      </c>
      <c r="F28" s="7">
        <v>62416</v>
      </c>
      <c r="G28" s="7">
        <v>52564</v>
      </c>
      <c r="H28" s="7">
        <v>40125</v>
      </c>
      <c r="I28" s="7">
        <f>I27+5</f>
        <v>15125</v>
      </c>
      <c r="J28" s="15">
        <v>37028.190875811619</v>
      </c>
    </row>
    <row r="29" spans="1:10" x14ac:dyDescent="0.25">
      <c r="A29" t="s">
        <v>19</v>
      </c>
      <c r="B29">
        <v>1</v>
      </c>
      <c r="C29">
        <v>7020</v>
      </c>
      <c r="D29" s="7">
        <v>72149</v>
      </c>
      <c r="E29" s="7">
        <v>65422</v>
      </c>
      <c r="F29" s="7">
        <v>62421</v>
      </c>
      <c r="G29" s="7">
        <v>52569</v>
      </c>
      <c r="H29" s="7">
        <v>40130</v>
      </c>
      <c r="I29" s="7">
        <f>I28+5</f>
        <v>15130</v>
      </c>
      <c r="J29" s="15">
        <v>47403.591877330968</v>
      </c>
    </row>
    <row r="30" spans="1:10" x14ac:dyDescent="0.25">
      <c r="A30" t="s">
        <v>18</v>
      </c>
      <c r="B30">
        <v>2</v>
      </c>
      <c r="C30">
        <v>3233</v>
      </c>
      <c r="D30" s="7">
        <v>72154</v>
      </c>
      <c r="E30" s="7">
        <v>65427</v>
      </c>
      <c r="F30" s="7">
        <v>62426</v>
      </c>
      <c r="G30" s="7">
        <v>52574</v>
      </c>
      <c r="H30" s="7">
        <v>40135</v>
      </c>
      <c r="I30" s="7">
        <f>I29+5</f>
        <v>15135</v>
      </c>
      <c r="J30" s="15">
        <v>71060.852450576669</v>
      </c>
    </row>
    <row r="31" spans="1:10" x14ac:dyDescent="0.25">
      <c r="A31" t="s">
        <v>17</v>
      </c>
      <c r="B31">
        <v>2</v>
      </c>
      <c r="C31">
        <v>8025</v>
      </c>
      <c r="D31" s="7">
        <v>72159</v>
      </c>
      <c r="E31" s="7">
        <v>65432</v>
      </c>
      <c r="F31" s="7">
        <v>62431</v>
      </c>
      <c r="G31" s="7">
        <v>52579</v>
      </c>
      <c r="H31" s="7">
        <v>40140</v>
      </c>
      <c r="I31" s="7">
        <f>I30+5</f>
        <v>15140</v>
      </c>
      <c r="J31" s="15">
        <v>37052.687820242427</v>
      </c>
    </row>
    <row r="32" spans="1:10" x14ac:dyDescent="0.25">
      <c r="A32" t="s">
        <v>16</v>
      </c>
      <c r="B32">
        <v>2</v>
      </c>
      <c r="C32">
        <v>5713</v>
      </c>
      <c r="D32" s="7">
        <v>72164</v>
      </c>
      <c r="E32" s="7">
        <v>65437</v>
      </c>
      <c r="F32" s="7">
        <v>62436</v>
      </c>
      <c r="G32" s="7">
        <v>52584</v>
      </c>
      <c r="H32" s="7">
        <v>40145</v>
      </c>
      <c r="I32" s="7">
        <f>I31+5</f>
        <v>15145</v>
      </c>
      <c r="J32" s="15">
        <v>37060.853468386049</v>
      </c>
    </row>
  </sheetData>
  <mergeCells count="1">
    <mergeCell ref="D1:I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alcs">
                <anchor moveWithCells="1" sizeWithCells="1">
                  <from>
                    <xdr:col>11</xdr:col>
                    <xdr:colOff>114300</xdr:colOff>
                    <xdr:row>2</xdr:row>
                    <xdr:rowOff>66675</xdr:rowOff>
                  </from>
                  <to>
                    <xdr:col>13</xdr:col>
                    <xdr:colOff>428625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FC496-2862-4659-A892-51AF516B161C}">
  <dimension ref="A3:C7"/>
  <sheetViews>
    <sheetView tabSelected="1" workbookViewId="0">
      <selection activeCell="A3" sqref="A3"/>
    </sheetView>
  </sheetViews>
  <sheetFormatPr defaultRowHeight="15" x14ac:dyDescent="0.25"/>
  <cols>
    <col min="1" max="1" width="13.140625" bestFit="1" customWidth="1"/>
    <col min="2" max="2" width="12.85546875" bestFit="1" customWidth="1"/>
    <col min="3" max="3" width="11.85546875" bestFit="1" customWidth="1"/>
  </cols>
  <sheetData>
    <row r="3" spans="1:3" s="26" customFormat="1" ht="30" x14ac:dyDescent="0.25">
      <c r="A3" s="25" t="s">
        <v>56</v>
      </c>
      <c r="B3" s="26" t="s">
        <v>57</v>
      </c>
      <c r="C3" s="26" t="s">
        <v>58</v>
      </c>
    </row>
    <row r="4" spans="1:3" x14ac:dyDescent="0.25">
      <c r="A4" s="23">
        <v>1</v>
      </c>
      <c r="B4" s="21">
        <v>11</v>
      </c>
      <c r="C4" s="24">
        <v>0.20370370370370369</v>
      </c>
    </row>
    <row r="5" spans="1:3" x14ac:dyDescent="0.25">
      <c r="A5" s="23">
        <v>2</v>
      </c>
      <c r="B5" s="21">
        <v>28</v>
      </c>
      <c r="C5" s="24">
        <v>0.51851851851851849</v>
      </c>
    </row>
    <row r="6" spans="1:3" x14ac:dyDescent="0.25">
      <c r="A6" s="23">
        <v>3</v>
      </c>
      <c r="B6" s="21">
        <v>15</v>
      </c>
      <c r="C6" s="24">
        <v>0.27777777777777779</v>
      </c>
    </row>
    <row r="7" spans="1:3" x14ac:dyDescent="0.25">
      <c r="A7" s="23" t="s">
        <v>55</v>
      </c>
      <c r="B7" s="21">
        <v>54</v>
      </c>
      <c r="C7" s="24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C01C54-B59B-4373-91F1-9FDA097D978C}">
  <dimension ref="A3:G7"/>
  <sheetViews>
    <sheetView workbookViewId="0">
      <selection activeCell="A4" sqref="A4"/>
    </sheetView>
  </sheetViews>
  <sheetFormatPr defaultRowHeight="15" x14ac:dyDescent="0.25"/>
  <cols>
    <col min="1" max="1" width="13.140625" bestFit="1" customWidth="1"/>
    <col min="2" max="2" width="18.5703125" bestFit="1" customWidth="1"/>
    <col min="3" max="3" width="19" bestFit="1" customWidth="1"/>
    <col min="4" max="4" width="19.28515625" bestFit="1" customWidth="1"/>
    <col min="5" max="5" width="18.85546875" bestFit="1" customWidth="1"/>
    <col min="6" max="6" width="19.5703125" bestFit="1" customWidth="1"/>
    <col min="7" max="7" width="19.85546875" bestFit="1" customWidth="1"/>
    <col min="8" max="31" width="6" bestFit="1" customWidth="1"/>
    <col min="32" max="32" width="11.28515625" bestFit="1" customWidth="1"/>
  </cols>
  <sheetData>
    <row r="3" spans="1:7" x14ac:dyDescent="0.25">
      <c r="A3" s="22" t="s">
        <v>56</v>
      </c>
      <c r="B3" t="s">
        <v>59</v>
      </c>
      <c r="C3" t="s">
        <v>60</v>
      </c>
      <c r="D3" t="s">
        <v>61</v>
      </c>
      <c r="E3" t="s">
        <v>62</v>
      </c>
      <c r="F3" t="s">
        <v>63</v>
      </c>
      <c r="G3" t="s">
        <v>64</v>
      </c>
    </row>
    <row r="4" spans="1:7" x14ac:dyDescent="0.25">
      <c r="A4" s="23">
        <v>1</v>
      </c>
      <c r="B4" s="27">
        <v>72098.545454545456</v>
      </c>
      <c r="C4" s="27">
        <v>65371.545454545456</v>
      </c>
      <c r="D4" s="27">
        <v>62370.545454545456</v>
      </c>
      <c r="E4" s="27">
        <v>52518.545454545456</v>
      </c>
      <c r="F4" s="27">
        <v>40079.545454545456</v>
      </c>
      <c r="G4" s="27">
        <v>15079.545454545454</v>
      </c>
    </row>
    <row r="5" spans="1:7" x14ac:dyDescent="0.25">
      <c r="A5" s="23">
        <v>2</v>
      </c>
      <c r="B5" s="27">
        <v>73589.642857142855</v>
      </c>
      <c r="C5" s="27">
        <v>66585.428571428565</v>
      </c>
      <c r="D5" s="27">
        <v>63620.214285714283</v>
      </c>
      <c r="E5" s="27">
        <v>53166.357142857145</v>
      </c>
      <c r="F5" s="27">
        <v>40814.357142857145</v>
      </c>
      <c r="G5" s="27">
        <v>15075.714285714286</v>
      </c>
    </row>
    <row r="6" spans="1:7" x14ac:dyDescent="0.25">
      <c r="A6" s="23">
        <v>3</v>
      </c>
      <c r="B6" s="27">
        <v>60565.4</v>
      </c>
      <c r="C6" s="27">
        <v>54876.800000000003</v>
      </c>
      <c r="D6" s="27">
        <v>51976.6</v>
      </c>
      <c r="E6" s="27">
        <v>43204</v>
      </c>
      <c r="F6" s="27">
        <v>32865</v>
      </c>
      <c r="G6" s="27">
        <v>15048</v>
      </c>
    </row>
    <row r="7" spans="1:7" x14ac:dyDescent="0.25">
      <c r="A7" s="23" t="s">
        <v>55</v>
      </c>
      <c r="B7" s="27">
        <v>70872.2</v>
      </c>
      <c r="C7" s="27">
        <v>64188.9</v>
      </c>
      <c r="D7" s="27">
        <v>61221.4</v>
      </c>
      <c r="E7" s="27">
        <v>51268.433333333334</v>
      </c>
      <c r="F7" s="27">
        <v>39220.033333333333</v>
      </c>
      <c r="G7" s="27">
        <v>15072.5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01532-2523-4067-AC67-DF2422C97BDA}">
  <dimension ref="A3:B6"/>
  <sheetViews>
    <sheetView workbookViewId="0">
      <selection activeCell="A4" sqref="A4"/>
    </sheetView>
  </sheetViews>
  <sheetFormatPr defaultRowHeight="15" x14ac:dyDescent="0.25"/>
  <cols>
    <col min="1" max="1" width="13.140625" bestFit="1" customWidth="1"/>
    <col min="2" max="2" width="19.7109375" style="28" bestFit="1" customWidth="1"/>
  </cols>
  <sheetData>
    <row r="3" spans="1:2" x14ac:dyDescent="0.25">
      <c r="A3" s="22" t="s">
        <v>56</v>
      </c>
      <c r="B3" s="28" t="s">
        <v>65</v>
      </c>
    </row>
    <row r="4" spans="1:2" x14ac:dyDescent="0.25">
      <c r="A4" s="23">
        <v>1</v>
      </c>
      <c r="B4" s="28">
        <v>61276.997640164918</v>
      </c>
    </row>
    <row r="5" spans="1:2" x14ac:dyDescent="0.25">
      <c r="A5" s="23">
        <v>2</v>
      </c>
      <c r="B5" s="28">
        <v>71060.852450576669</v>
      </c>
    </row>
    <row r="6" spans="1:2" x14ac:dyDescent="0.25">
      <c r="A6" s="23">
        <v>3</v>
      </c>
      <c r="B6" s="28">
        <v>54910.874468678259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Calculator</vt:lpstr>
      <vt:lpstr>Completion_Factors</vt:lpstr>
      <vt:lpstr>Company Data</vt:lpstr>
      <vt:lpstr>Coverage Type</vt:lpstr>
      <vt:lpstr>Avg Reported Claims</vt:lpstr>
      <vt:lpstr>Max IBNR Reserve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Nadine</dc:creator>
  <cp:lastModifiedBy>Dennis O'Leary</cp:lastModifiedBy>
  <dcterms:created xsi:type="dcterms:W3CDTF">2022-03-18T22:57:36Z</dcterms:created>
  <dcterms:modified xsi:type="dcterms:W3CDTF">2022-07-25T00:09:32Z</dcterms:modified>
</cp:coreProperties>
</file>